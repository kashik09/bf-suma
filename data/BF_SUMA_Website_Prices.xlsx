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OneDrive\Project\BK Projects\BF Suma\"/>
    </mc:Choice>
  </mc:AlternateContent>
  <xr:revisionPtr revIDLastSave="0" documentId="13_ncr:1_{32916C84-9A87-4F00-BB3E-1738599386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F SUMA Pric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I14" i="1"/>
  <c r="K14" i="1" s="1"/>
  <c r="H14" i="1"/>
  <c r="G14" i="1"/>
  <c r="F47" i="1"/>
  <c r="I47" i="1" s="1"/>
  <c r="K47" i="1" s="1"/>
  <c r="L47" i="1" s="1"/>
  <c r="H53" i="1"/>
  <c r="F53" i="1"/>
  <c r="E47" i="1"/>
  <c r="H47" i="1" s="1"/>
  <c r="M47" i="1" s="1"/>
  <c r="N47" i="1" s="1"/>
  <c r="I46" i="1"/>
  <c r="K46" i="1" s="1"/>
  <c r="L46" i="1" s="1"/>
  <c r="H46" i="1"/>
  <c r="M46" i="1" s="1"/>
  <c r="N46" i="1" s="1"/>
  <c r="G46" i="1"/>
  <c r="E44" i="1"/>
  <c r="H44" i="1" s="1"/>
  <c r="M44" i="1" s="1"/>
  <c r="N44" i="1" s="1"/>
  <c r="E45" i="1"/>
  <c r="H45" i="1" s="1"/>
  <c r="M45" i="1" s="1"/>
  <c r="N45" i="1" s="1"/>
  <c r="E32" i="1"/>
  <c r="D32" i="1" s="1"/>
  <c r="G32" i="1" s="1"/>
  <c r="E25" i="1"/>
  <c r="H25" i="1" s="1"/>
  <c r="M25" i="1" s="1"/>
  <c r="N25" i="1" s="1"/>
  <c r="F24" i="1"/>
  <c r="I24" i="1" s="1"/>
  <c r="K24" i="1" s="1"/>
  <c r="L24" i="1" s="1"/>
  <c r="E19" i="1"/>
  <c r="H19" i="1" s="1"/>
  <c r="M19" i="1" s="1"/>
  <c r="N19" i="1" s="1"/>
  <c r="E18" i="1"/>
  <c r="H18" i="1" s="1"/>
  <c r="M18" i="1" s="1"/>
  <c r="N18" i="1" s="1"/>
  <c r="E6" i="1"/>
  <c r="D6" i="1" s="1"/>
  <c r="G6" i="1" s="1"/>
  <c r="G4" i="1"/>
  <c r="G5" i="1"/>
  <c r="G7" i="1"/>
  <c r="G8" i="1"/>
  <c r="G9" i="1"/>
  <c r="G10" i="1"/>
  <c r="G11" i="1"/>
  <c r="G12" i="1"/>
  <c r="G13" i="1"/>
  <c r="G15" i="1"/>
  <c r="G16" i="1"/>
  <c r="G17" i="1"/>
  <c r="G20" i="1"/>
  <c r="G21" i="1"/>
  <c r="G22" i="1"/>
  <c r="G23" i="1"/>
  <c r="G24" i="1"/>
  <c r="G26" i="1"/>
  <c r="G27" i="1"/>
  <c r="G28" i="1"/>
  <c r="G29" i="1"/>
  <c r="G30" i="1"/>
  <c r="G31" i="1"/>
  <c r="G33" i="1"/>
  <c r="G34" i="1"/>
  <c r="G35" i="1"/>
  <c r="G36" i="1"/>
  <c r="G37" i="1"/>
  <c r="G38" i="1"/>
  <c r="G39" i="1"/>
  <c r="G40" i="1"/>
  <c r="G41" i="1"/>
  <c r="G42" i="1"/>
  <c r="G43" i="1"/>
  <c r="G47" i="1"/>
  <c r="G48" i="1"/>
  <c r="G49" i="1"/>
  <c r="G50" i="1"/>
  <c r="G51" i="1"/>
  <c r="G52" i="1"/>
  <c r="G53" i="1"/>
  <c r="G3" i="1"/>
  <c r="I4" i="1"/>
  <c r="K4" i="1" s="1"/>
  <c r="L4" i="1" s="1"/>
  <c r="I5" i="1"/>
  <c r="K5" i="1" s="1"/>
  <c r="L5" i="1" s="1"/>
  <c r="I6" i="1"/>
  <c r="K6" i="1" s="1"/>
  <c r="L6" i="1" s="1"/>
  <c r="I7" i="1"/>
  <c r="K7" i="1" s="1"/>
  <c r="L7" i="1" s="1"/>
  <c r="I8" i="1"/>
  <c r="K8" i="1" s="1"/>
  <c r="L8" i="1" s="1"/>
  <c r="I9" i="1"/>
  <c r="K9" i="1" s="1"/>
  <c r="L9" i="1" s="1"/>
  <c r="I10" i="1"/>
  <c r="K10" i="1" s="1"/>
  <c r="L10" i="1" s="1"/>
  <c r="I11" i="1"/>
  <c r="K11" i="1" s="1"/>
  <c r="L11" i="1" s="1"/>
  <c r="I12" i="1"/>
  <c r="K12" i="1" s="1"/>
  <c r="L12" i="1" s="1"/>
  <c r="I13" i="1"/>
  <c r="K13" i="1" s="1"/>
  <c r="L13" i="1" s="1"/>
  <c r="I15" i="1"/>
  <c r="K15" i="1" s="1"/>
  <c r="L15" i="1" s="1"/>
  <c r="I16" i="1"/>
  <c r="K16" i="1" s="1"/>
  <c r="L16" i="1" s="1"/>
  <c r="I17" i="1"/>
  <c r="K17" i="1" s="1"/>
  <c r="L17" i="1" s="1"/>
  <c r="I18" i="1"/>
  <c r="K18" i="1" s="1"/>
  <c r="L18" i="1" s="1"/>
  <c r="I19" i="1"/>
  <c r="K19" i="1" s="1"/>
  <c r="L19" i="1" s="1"/>
  <c r="I20" i="1"/>
  <c r="K20" i="1" s="1"/>
  <c r="L20" i="1" s="1"/>
  <c r="I21" i="1"/>
  <c r="K21" i="1" s="1"/>
  <c r="L21" i="1" s="1"/>
  <c r="I22" i="1"/>
  <c r="K22" i="1" s="1"/>
  <c r="L22" i="1" s="1"/>
  <c r="I23" i="1"/>
  <c r="K23" i="1" s="1"/>
  <c r="L23" i="1" s="1"/>
  <c r="I25" i="1"/>
  <c r="K25" i="1" s="1"/>
  <c r="L25" i="1" s="1"/>
  <c r="I26" i="1"/>
  <c r="I27" i="1"/>
  <c r="K27" i="1" s="1"/>
  <c r="L27" i="1" s="1"/>
  <c r="I28" i="1"/>
  <c r="K28" i="1" s="1"/>
  <c r="L28" i="1" s="1"/>
  <c r="I29" i="1"/>
  <c r="K29" i="1" s="1"/>
  <c r="L29" i="1" s="1"/>
  <c r="I30" i="1"/>
  <c r="K30" i="1" s="1"/>
  <c r="L30" i="1" s="1"/>
  <c r="I31" i="1"/>
  <c r="K31" i="1" s="1"/>
  <c r="L31" i="1" s="1"/>
  <c r="I32" i="1"/>
  <c r="K32" i="1" s="1"/>
  <c r="L32" i="1" s="1"/>
  <c r="I33" i="1"/>
  <c r="K33" i="1" s="1"/>
  <c r="L33" i="1" s="1"/>
  <c r="I34" i="1"/>
  <c r="K34" i="1" s="1"/>
  <c r="L34" i="1" s="1"/>
  <c r="I35" i="1"/>
  <c r="K35" i="1" s="1"/>
  <c r="L35" i="1" s="1"/>
  <c r="I36" i="1"/>
  <c r="K36" i="1" s="1"/>
  <c r="L36" i="1" s="1"/>
  <c r="I37" i="1"/>
  <c r="K37" i="1" s="1"/>
  <c r="L37" i="1" s="1"/>
  <c r="I38" i="1"/>
  <c r="K38" i="1" s="1"/>
  <c r="L38" i="1" s="1"/>
  <c r="I39" i="1"/>
  <c r="K39" i="1" s="1"/>
  <c r="L39" i="1" s="1"/>
  <c r="I40" i="1"/>
  <c r="K40" i="1" s="1"/>
  <c r="L40" i="1" s="1"/>
  <c r="I41" i="1"/>
  <c r="K41" i="1" s="1"/>
  <c r="L41" i="1" s="1"/>
  <c r="I42" i="1"/>
  <c r="K42" i="1" s="1"/>
  <c r="L42" i="1" s="1"/>
  <c r="I43" i="1"/>
  <c r="K43" i="1" s="1"/>
  <c r="L43" i="1" s="1"/>
  <c r="I44" i="1"/>
  <c r="K44" i="1" s="1"/>
  <c r="L44" i="1" s="1"/>
  <c r="I45" i="1"/>
  <c r="K45" i="1" s="1"/>
  <c r="L45" i="1" s="1"/>
  <c r="I48" i="1"/>
  <c r="I49" i="1"/>
  <c r="K49" i="1" s="1"/>
  <c r="L49" i="1" s="1"/>
  <c r="I50" i="1"/>
  <c r="K50" i="1" s="1"/>
  <c r="L50" i="1" s="1"/>
  <c r="I51" i="1"/>
  <c r="K51" i="1" s="1"/>
  <c r="L51" i="1" s="1"/>
  <c r="I52" i="1"/>
  <c r="K52" i="1" s="1"/>
  <c r="L52" i="1" s="1"/>
  <c r="I3" i="1"/>
  <c r="K3" i="1" s="1"/>
  <c r="L3" i="1" s="1"/>
  <c r="H4" i="1"/>
  <c r="M4" i="1" s="1"/>
  <c r="N4" i="1" s="1"/>
  <c r="H5" i="1"/>
  <c r="M5" i="1" s="1"/>
  <c r="N5" i="1" s="1"/>
  <c r="H6" i="1"/>
  <c r="M6" i="1" s="1"/>
  <c r="N6" i="1" s="1"/>
  <c r="H7" i="1"/>
  <c r="H8" i="1"/>
  <c r="H9" i="1"/>
  <c r="M9" i="1" s="1"/>
  <c r="N9" i="1" s="1"/>
  <c r="H10" i="1"/>
  <c r="M10" i="1" s="1"/>
  <c r="N10" i="1" s="1"/>
  <c r="H11" i="1"/>
  <c r="M11" i="1" s="1"/>
  <c r="N11" i="1" s="1"/>
  <c r="H12" i="1"/>
  <c r="M12" i="1" s="1"/>
  <c r="N12" i="1" s="1"/>
  <c r="H13" i="1"/>
  <c r="M13" i="1" s="1"/>
  <c r="N13" i="1" s="1"/>
  <c r="H15" i="1"/>
  <c r="M15" i="1" s="1"/>
  <c r="N15" i="1" s="1"/>
  <c r="H16" i="1"/>
  <c r="M16" i="1" s="1"/>
  <c r="N16" i="1" s="1"/>
  <c r="H17" i="1"/>
  <c r="M17" i="1" s="1"/>
  <c r="N17" i="1" s="1"/>
  <c r="H20" i="1"/>
  <c r="M20" i="1" s="1"/>
  <c r="N20" i="1" s="1"/>
  <c r="H21" i="1"/>
  <c r="M21" i="1" s="1"/>
  <c r="N21" i="1" s="1"/>
  <c r="H22" i="1"/>
  <c r="M22" i="1" s="1"/>
  <c r="N22" i="1" s="1"/>
  <c r="H23" i="1"/>
  <c r="M23" i="1" s="1"/>
  <c r="N23" i="1" s="1"/>
  <c r="H24" i="1"/>
  <c r="M24" i="1" s="1"/>
  <c r="N24" i="1" s="1"/>
  <c r="H26" i="1"/>
  <c r="M26" i="1" s="1"/>
  <c r="N26" i="1" s="1"/>
  <c r="H27" i="1"/>
  <c r="M27" i="1" s="1"/>
  <c r="N27" i="1" s="1"/>
  <c r="H28" i="1"/>
  <c r="M28" i="1" s="1"/>
  <c r="N28" i="1" s="1"/>
  <c r="H29" i="1"/>
  <c r="M29" i="1" s="1"/>
  <c r="N29" i="1" s="1"/>
  <c r="H30" i="1"/>
  <c r="M30" i="1" s="1"/>
  <c r="N30" i="1" s="1"/>
  <c r="H31" i="1"/>
  <c r="H32" i="1"/>
  <c r="M32" i="1" s="1"/>
  <c r="N32" i="1" s="1"/>
  <c r="H33" i="1"/>
  <c r="M33" i="1" s="1"/>
  <c r="N33" i="1" s="1"/>
  <c r="H34" i="1"/>
  <c r="M34" i="1" s="1"/>
  <c r="N34" i="1" s="1"/>
  <c r="H35" i="1"/>
  <c r="M35" i="1" s="1"/>
  <c r="N35" i="1" s="1"/>
  <c r="H36" i="1"/>
  <c r="M36" i="1" s="1"/>
  <c r="N36" i="1" s="1"/>
  <c r="H37" i="1"/>
  <c r="M37" i="1" s="1"/>
  <c r="N37" i="1" s="1"/>
  <c r="H38" i="1"/>
  <c r="M38" i="1" s="1"/>
  <c r="N38" i="1" s="1"/>
  <c r="H39" i="1"/>
  <c r="M39" i="1" s="1"/>
  <c r="N39" i="1" s="1"/>
  <c r="H40" i="1"/>
  <c r="M40" i="1" s="1"/>
  <c r="N40" i="1" s="1"/>
  <c r="H41" i="1"/>
  <c r="M41" i="1" s="1"/>
  <c r="N41" i="1" s="1"/>
  <c r="H42" i="1"/>
  <c r="M42" i="1" s="1"/>
  <c r="N42" i="1" s="1"/>
  <c r="H43" i="1"/>
  <c r="M43" i="1" s="1"/>
  <c r="N43" i="1" s="1"/>
  <c r="H48" i="1"/>
  <c r="M48" i="1" s="1"/>
  <c r="N48" i="1" s="1"/>
  <c r="H49" i="1"/>
  <c r="M49" i="1" s="1"/>
  <c r="N49" i="1" s="1"/>
  <c r="H50" i="1"/>
  <c r="M50" i="1" s="1"/>
  <c r="N50" i="1" s="1"/>
  <c r="H51" i="1"/>
  <c r="M51" i="1" s="1"/>
  <c r="N51" i="1" s="1"/>
  <c r="H52" i="1"/>
  <c r="M52" i="1" s="1"/>
  <c r="N52" i="1" s="1"/>
  <c r="H3" i="1"/>
  <c r="M3" i="1" s="1"/>
  <c r="N3" i="1" s="1"/>
  <c r="M7" i="1"/>
  <c r="N7" i="1" s="1"/>
  <c r="M8" i="1"/>
  <c r="N8" i="1" s="1"/>
  <c r="M31" i="1"/>
  <c r="N31" i="1" s="1"/>
  <c r="M53" i="1"/>
  <c r="N53" i="1" s="1"/>
  <c r="K26" i="1"/>
  <c r="L26" i="1" s="1"/>
  <c r="K48" i="1"/>
  <c r="L48" i="1" s="1"/>
  <c r="D18" i="1" l="1"/>
  <c r="G18" i="1" s="1"/>
  <c r="D19" i="1"/>
  <c r="I53" i="1"/>
  <c r="K53" i="1" s="1"/>
  <c r="L53" i="1" s="1"/>
  <c r="D25" i="1"/>
  <c r="D45" i="1"/>
  <c r="D44" i="1"/>
  <c r="G44" i="1" l="1"/>
  <c r="G45" i="1"/>
  <c r="G25" i="1"/>
  <c r="G19" i="1"/>
</calcChain>
</file>

<file path=xl/sharedStrings.xml><?xml version="1.0" encoding="utf-8"?>
<sst xmlns="http://schemas.openxmlformats.org/spreadsheetml/2006/main" count="126" uniqueCount="124">
  <si>
    <t>BF SUMA PRODUCTS PRICE LIST</t>
  </si>
  <si>
    <t>Category</t>
  </si>
  <si>
    <t>Product ID</t>
  </si>
  <si>
    <t>Product Name</t>
  </si>
  <si>
    <t>Dist. Price (USD)</t>
  </si>
  <si>
    <t>Dist. Price (UGX)</t>
  </si>
  <si>
    <t>Dist. Price (KES)</t>
  </si>
  <si>
    <t>Retail Price (UGX)</t>
  </si>
  <si>
    <t>Retail Price (KES)</t>
  </si>
  <si>
    <t>PV</t>
  </si>
  <si>
    <t>Bone &amp; Joint Care</t>
  </si>
  <si>
    <t>AP022E</t>
  </si>
  <si>
    <t>ArthroXtra Tablets</t>
  </si>
  <si>
    <t>AP107E</t>
  </si>
  <si>
    <t>Zaminocal Plus Capsules</t>
  </si>
  <si>
    <t>AP190A</t>
  </si>
  <si>
    <t>GluzoJoint-Ultra Pro Tablets</t>
  </si>
  <si>
    <t>AP014C</t>
  </si>
  <si>
    <t>GluzoJoint-F Capsules</t>
  </si>
  <si>
    <t>Immune Boosters</t>
  </si>
  <si>
    <t>AP011F</t>
  </si>
  <si>
    <t>4 in 1 Reishi Coffee</t>
  </si>
  <si>
    <t>AP028F</t>
  </si>
  <si>
    <t>4 in 1 Ginseng Coffee</t>
  </si>
  <si>
    <t>AP039F</t>
  </si>
  <si>
    <t>4 in 1 Cordyceps Coffee</t>
  </si>
  <si>
    <t>AP013E</t>
  </si>
  <si>
    <t>Pure &amp; Broken Ganoderma Spores (30's)</t>
  </si>
  <si>
    <t>AP013G</t>
  </si>
  <si>
    <t>Pure &amp; Broken Ganoderma Spores (60's)</t>
  </si>
  <si>
    <t>AP147B</t>
  </si>
  <si>
    <t>Pure &amp; Broken Ganoderma Oil (60's)</t>
  </si>
  <si>
    <t>AP014F</t>
  </si>
  <si>
    <t>Refined Yunzhi Capsules</t>
  </si>
  <si>
    <t>AP153A</t>
  </si>
  <si>
    <t>Quad Reishi Capsules</t>
  </si>
  <si>
    <t>Premium Selected</t>
  </si>
  <si>
    <t>AP146A</t>
  </si>
  <si>
    <t>NMN DUO Release</t>
  </si>
  <si>
    <t>AP144B</t>
  </si>
  <si>
    <t>NMN Coffee</t>
  </si>
  <si>
    <t>AP146B</t>
  </si>
  <si>
    <t>NMN-Sharp Mind</t>
  </si>
  <si>
    <t>AP145A</t>
  </si>
  <si>
    <t>YOUTH EVER</t>
  </si>
  <si>
    <t>Cardiovascular Health</t>
  </si>
  <si>
    <t>AP004E</t>
  </si>
  <si>
    <t>MicrO2 Cycle Tablets</t>
  </si>
  <si>
    <t>AP077E</t>
  </si>
  <si>
    <t>CereBrain Tablets</t>
  </si>
  <si>
    <t>AP152A</t>
  </si>
  <si>
    <t>GymEffect Capsule</t>
  </si>
  <si>
    <t>AP097E</t>
  </si>
  <si>
    <t>Detoxilive Capsules</t>
  </si>
  <si>
    <t>AP166B</t>
  </si>
  <si>
    <t>Detoxilive Pro Oil Capsules</t>
  </si>
  <si>
    <t>AP150A</t>
  </si>
  <si>
    <t>Relivin Tea</t>
  </si>
  <si>
    <t>Digestive Health</t>
  </si>
  <si>
    <t>AP006E</t>
  </si>
  <si>
    <t>ConstiRelax Solution</t>
  </si>
  <si>
    <t>AP132A</t>
  </si>
  <si>
    <t>Ntdiarr Pills (1 Dozen)</t>
  </si>
  <si>
    <t>AP041E</t>
  </si>
  <si>
    <t>Novel Depile Capsules</t>
  </si>
  <si>
    <t>AP155C</t>
  </si>
  <si>
    <t>Probio 3</t>
  </si>
  <si>
    <t>AP100A</t>
  </si>
  <si>
    <t>Veggie Veggie</t>
  </si>
  <si>
    <t>AP169A</t>
  </si>
  <si>
    <t>Elements</t>
  </si>
  <si>
    <t>AP170A</t>
  </si>
  <si>
    <t>Ez-Xlim Capsule</t>
  </si>
  <si>
    <t>Men's Health</t>
  </si>
  <si>
    <t>AP009F</t>
  </si>
  <si>
    <t>ProstatRelax Capsules</t>
  </si>
  <si>
    <t>AP029E</t>
  </si>
  <si>
    <t>X Power Man Capsules</t>
  </si>
  <si>
    <t>AP113A</t>
  </si>
  <si>
    <t>Xpower Coffee for Men</t>
  </si>
  <si>
    <t>Women's Beauty</t>
  </si>
  <si>
    <t>AP074E</t>
  </si>
  <si>
    <t>Feminergy Capsules</t>
  </si>
  <si>
    <t>AP192C</t>
  </si>
  <si>
    <t>FemiCalcium D3</t>
  </si>
  <si>
    <t>AP179D</t>
  </si>
  <si>
    <t>Femibiotics</t>
  </si>
  <si>
    <t>CP0201</t>
  </si>
  <si>
    <t>Youth Refreshing Facial Cleanser</t>
  </si>
  <si>
    <t>CP0202</t>
  </si>
  <si>
    <t>Youth Essence Lotion</t>
  </si>
  <si>
    <t>CP0203</t>
  </si>
  <si>
    <t>Youth Essence Toner</t>
  </si>
  <si>
    <t>CP0204</t>
  </si>
  <si>
    <t>Youth Essence Facial Mask</t>
  </si>
  <si>
    <t>CP0205</t>
  </si>
  <si>
    <t>Youth Essence Cream</t>
  </si>
  <si>
    <t>CP0206</t>
  </si>
  <si>
    <t>SUMA GRAND 1 (Cleanser+Lotion+Toner)</t>
  </si>
  <si>
    <t>CP0207</t>
  </si>
  <si>
    <t>SUMA GRAND 2 (Cleanser+Lotion+Toner+Facial Mask+Cream)</t>
  </si>
  <si>
    <t>AP052F</t>
  </si>
  <si>
    <t>FemiCare Feminine Cleanser</t>
  </si>
  <si>
    <t>Smart Kids</t>
  </si>
  <si>
    <t>AP182B</t>
  </si>
  <si>
    <t>Calcium &amp; Vitamin D3 Milk Tablets</t>
  </si>
  <si>
    <t>AP188A</t>
  </si>
  <si>
    <t>Sharp Vision (Blueberry Chewable)</t>
  </si>
  <si>
    <t>AP158B</t>
  </si>
  <si>
    <t>Vitamin C Chewable Tablets</t>
  </si>
  <si>
    <t>Suma Living</t>
  </si>
  <si>
    <t>AP024E</t>
  </si>
  <si>
    <t>AnaticTM Herbal Essence Soap</t>
  </si>
  <si>
    <t>AP101E</t>
  </si>
  <si>
    <t>Dr.Ts Toothpaste</t>
  </si>
  <si>
    <t>AP131A</t>
  </si>
  <si>
    <t>Cool Roll (1 Dozen)</t>
  </si>
  <si>
    <t>Kenya</t>
  </si>
  <si>
    <t>Uganda</t>
  </si>
  <si>
    <t>Retail Price USD</t>
  </si>
  <si>
    <t xml:space="preserve">FemiVitamins tablet </t>
  </si>
  <si>
    <t>AP211A</t>
  </si>
  <si>
    <t>AP209B</t>
  </si>
  <si>
    <t xml:space="preserve">Sleep Beauty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</si>
</sst>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2" fillId="4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topLeftCell="A41" workbookViewId="0">
      <selection activeCell="G53" sqref="G53"/>
    </sheetView>
  </sheetViews>
  <sheetFormatPr defaultRowHeight="14.5" x14ac:dyDescent="0.35"/>
  <cols>
    <col min="1" max="1" width="16" customWidth="1"/>
    <col min="2" max="2" width="11" customWidth="1"/>
    <col min="3" max="3" width="38" customWidth="1"/>
    <col min="4" max="4" width="13" customWidth="1"/>
    <col min="5" max="9" width="14" customWidth="1"/>
    <col min="10" max="10" width="7" customWidth="1"/>
  </cols>
  <sheetData>
    <row r="1" spans="1:14" ht="3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4" ht="32" customHeight="1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119</v>
      </c>
      <c r="H2" s="9" t="s">
        <v>7</v>
      </c>
      <c r="I2" s="9" t="s">
        <v>8</v>
      </c>
      <c r="J2" s="9" t="s">
        <v>9</v>
      </c>
      <c r="K2" s="12" t="s">
        <v>117</v>
      </c>
      <c r="L2" s="11" t="s">
        <v>117</v>
      </c>
      <c r="M2" s="11" t="s">
        <v>118</v>
      </c>
      <c r="N2" s="11" t="s">
        <v>118</v>
      </c>
    </row>
    <row r="3" spans="1:14" ht="18" customHeight="1" x14ac:dyDescent="0.35">
      <c r="A3" s="13" t="s">
        <v>10</v>
      </c>
      <c r="B3" s="1" t="s">
        <v>11</v>
      </c>
      <c r="C3" s="2" t="s">
        <v>12</v>
      </c>
      <c r="D3" s="3">
        <v>40</v>
      </c>
      <c r="E3" s="4">
        <v>144000</v>
      </c>
      <c r="F3" s="4">
        <v>5400</v>
      </c>
      <c r="G3" s="4">
        <f t="shared" ref="G3:G34" si="0">D3*1.25</f>
        <v>50</v>
      </c>
      <c r="H3" s="4">
        <f t="shared" ref="H3:H34" si="1">E3*1.25</f>
        <v>180000</v>
      </c>
      <c r="I3" s="4">
        <f t="shared" ref="I3:I45" si="2">F3*130%</f>
        <v>7020</v>
      </c>
      <c r="J3" s="3">
        <v>34.5</v>
      </c>
      <c r="K3" s="10">
        <f t="shared" ref="K3:K34" si="3">I3-F3</f>
        <v>1620</v>
      </c>
      <c r="L3">
        <f t="shared" ref="L3:L13" si="4">K3/F3</f>
        <v>0.3</v>
      </c>
      <c r="M3" s="10">
        <f t="shared" ref="M3:M13" si="5">H3-E3</f>
        <v>36000</v>
      </c>
      <c r="N3">
        <f t="shared" ref="N3:N13" si="6">M3/E3</f>
        <v>0.25</v>
      </c>
    </row>
    <row r="4" spans="1:14" ht="18" customHeight="1" x14ac:dyDescent="0.35">
      <c r="A4" s="14"/>
      <c r="B4" s="5" t="s">
        <v>13</v>
      </c>
      <c r="C4" s="6" t="s">
        <v>14</v>
      </c>
      <c r="D4" s="7">
        <v>23</v>
      </c>
      <c r="E4" s="8">
        <v>82800</v>
      </c>
      <c r="F4" s="8">
        <v>3105</v>
      </c>
      <c r="G4" s="4">
        <f t="shared" si="0"/>
        <v>28.75</v>
      </c>
      <c r="H4" s="4">
        <f t="shared" si="1"/>
        <v>103500</v>
      </c>
      <c r="I4" s="4">
        <f t="shared" si="2"/>
        <v>4036.5</v>
      </c>
      <c r="J4" s="7">
        <v>18</v>
      </c>
      <c r="K4" s="10">
        <f t="shared" si="3"/>
        <v>931.5</v>
      </c>
      <c r="L4">
        <f t="shared" si="4"/>
        <v>0.3</v>
      </c>
      <c r="M4" s="10">
        <f t="shared" si="5"/>
        <v>20700</v>
      </c>
      <c r="N4">
        <f t="shared" si="6"/>
        <v>0.25</v>
      </c>
    </row>
    <row r="5" spans="1:14" ht="18" customHeight="1" x14ac:dyDescent="0.35">
      <c r="A5" s="14"/>
      <c r="B5" s="1" t="s">
        <v>15</v>
      </c>
      <c r="C5" s="2" t="s">
        <v>16</v>
      </c>
      <c r="D5" s="3">
        <v>56</v>
      </c>
      <c r="E5" s="4">
        <v>201600</v>
      </c>
      <c r="F5" s="4">
        <v>7560</v>
      </c>
      <c r="G5" s="4">
        <f t="shared" si="0"/>
        <v>70</v>
      </c>
      <c r="H5" s="4">
        <f t="shared" si="1"/>
        <v>252000</v>
      </c>
      <c r="I5" s="4">
        <f t="shared" si="2"/>
        <v>9828</v>
      </c>
      <c r="J5" s="3">
        <v>44.8</v>
      </c>
      <c r="K5" s="10">
        <f t="shared" si="3"/>
        <v>2268</v>
      </c>
      <c r="L5">
        <f t="shared" si="4"/>
        <v>0.3</v>
      </c>
      <c r="M5" s="10">
        <f t="shared" si="5"/>
        <v>50400</v>
      </c>
      <c r="N5">
        <f t="shared" si="6"/>
        <v>0.25</v>
      </c>
    </row>
    <row r="6" spans="1:14" ht="18" customHeight="1" x14ac:dyDescent="0.35">
      <c r="A6" s="15"/>
      <c r="B6" s="5" t="s">
        <v>17</v>
      </c>
      <c r="C6" s="6" t="s">
        <v>18</v>
      </c>
      <c r="D6" s="7">
        <f>E6/3600</f>
        <v>30.45</v>
      </c>
      <c r="E6" s="8">
        <f>F6*29</f>
        <v>109620</v>
      </c>
      <c r="F6" s="8">
        <v>3780</v>
      </c>
      <c r="G6" s="4">
        <f t="shared" si="0"/>
        <v>38.0625</v>
      </c>
      <c r="H6" s="4">
        <f t="shared" si="1"/>
        <v>137025</v>
      </c>
      <c r="I6" s="4">
        <f t="shared" si="2"/>
        <v>4914</v>
      </c>
      <c r="J6" s="7">
        <v>23.5</v>
      </c>
      <c r="K6" s="10">
        <f t="shared" si="3"/>
        <v>1134</v>
      </c>
      <c r="L6">
        <f t="shared" si="4"/>
        <v>0.3</v>
      </c>
      <c r="M6" s="10">
        <f t="shared" si="5"/>
        <v>27405</v>
      </c>
      <c r="N6">
        <f t="shared" si="6"/>
        <v>0.25</v>
      </c>
    </row>
    <row r="7" spans="1:14" ht="18" customHeight="1" x14ac:dyDescent="0.35">
      <c r="A7" s="13" t="s">
        <v>19</v>
      </c>
      <c r="B7" s="1" t="s">
        <v>20</v>
      </c>
      <c r="C7" s="2" t="s">
        <v>21</v>
      </c>
      <c r="D7" s="3">
        <v>13</v>
      </c>
      <c r="E7" s="4">
        <v>46800</v>
      </c>
      <c r="F7" s="4">
        <v>1755</v>
      </c>
      <c r="G7" s="4">
        <f t="shared" si="0"/>
        <v>16.25</v>
      </c>
      <c r="H7" s="4">
        <f t="shared" si="1"/>
        <v>58500</v>
      </c>
      <c r="I7" s="4">
        <f t="shared" si="2"/>
        <v>2281.5</v>
      </c>
      <c r="J7" s="3">
        <v>6.5</v>
      </c>
      <c r="K7" s="10">
        <f t="shared" si="3"/>
        <v>526.5</v>
      </c>
      <c r="L7">
        <f t="shared" si="4"/>
        <v>0.3</v>
      </c>
      <c r="M7" s="10">
        <f t="shared" si="5"/>
        <v>11700</v>
      </c>
      <c r="N7">
        <f t="shared" si="6"/>
        <v>0.25</v>
      </c>
    </row>
    <row r="8" spans="1:14" ht="18" customHeight="1" x14ac:dyDescent="0.35">
      <c r="A8" s="14"/>
      <c r="B8" s="5" t="s">
        <v>22</v>
      </c>
      <c r="C8" s="6" t="s">
        <v>23</v>
      </c>
      <c r="D8" s="7">
        <v>13</v>
      </c>
      <c r="E8" s="8">
        <v>46800</v>
      </c>
      <c r="F8" s="8">
        <v>1755</v>
      </c>
      <c r="G8" s="4">
        <f t="shared" si="0"/>
        <v>16.25</v>
      </c>
      <c r="H8" s="4">
        <f t="shared" si="1"/>
        <v>58500</v>
      </c>
      <c r="I8" s="4">
        <f t="shared" si="2"/>
        <v>2281.5</v>
      </c>
      <c r="J8" s="7">
        <v>6.5</v>
      </c>
      <c r="K8" s="10">
        <f t="shared" si="3"/>
        <v>526.5</v>
      </c>
      <c r="L8">
        <f t="shared" si="4"/>
        <v>0.3</v>
      </c>
      <c r="M8" s="10">
        <f t="shared" si="5"/>
        <v>11700</v>
      </c>
      <c r="N8">
        <f t="shared" si="6"/>
        <v>0.25</v>
      </c>
    </row>
    <row r="9" spans="1:14" ht="18" customHeight="1" x14ac:dyDescent="0.35">
      <c r="A9" s="14"/>
      <c r="B9" s="1" t="s">
        <v>24</v>
      </c>
      <c r="C9" s="2" t="s">
        <v>25</v>
      </c>
      <c r="D9" s="3">
        <v>13</v>
      </c>
      <c r="E9" s="4">
        <v>46800</v>
      </c>
      <c r="F9" s="4">
        <v>1755</v>
      </c>
      <c r="G9" s="4">
        <f t="shared" si="0"/>
        <v>16.25</v>
      </c>
      <c r="H9" s="4">
        <f t="shared" si="1"/>
        <v>58500</v>
      </c>
      <c r="I9" s="4">
        <f t="shared" si="2"/>
        <v>2281.5</v>
      </c>
      <c r="J9" s="3">
        <v>6.5</v>
      </c>
      <c r="K9" s="10">
        <f t="shared" si="3"/>
        <v>526.5</v>
      </c>
      <c r="L9">
        <f t="shared" si="4"/>
        <v>0.3</v>
      </c>
      <c r="M9" s="10">
        <f t="shared" si="5"/>
        <v>11700</v>
      </c>
      <c r="N9">
        <f t="shared" si="6"/>
        <v>0.25</v>
      </c>
    </row>
    <row r="10" spans="1:14" ht="18" customHeight="1" x14ac:dyDescent="0.35">
      <c r="A10" s="14"/>
      <c r="B10" s="5" t="s">
        <v>26</v>
      </c>
      <c r="C10" s="6" t="s">
        <v>27</v>
      </c>
      <c r="D10" s="7">
        <v>58</v>
      </c>
      <c r="E10" s="8">
        <v>208800</v>
      </c>
      <c r="F10" s="8">
        <v>7830</v>
      </c>
      <c r="G10" s="4">
        <f t="shared" si="0"/>
        <v>72.5</v>
      </c>
      <c r="H10" s="4">
        <f t="shared" si="1"/>
        <v>261000</v>
      </c>
      <c r="I10" s="4">
        <f t="shared" si="2"/>
        <v>10179</v>
      </c>
      <c r="J10" s="7">
        <v>52</v>
      </c>
      <c r="K10" s="10">
        <f t="shared" si="3"/>
        <v>2349</v>
      </c>
      <c r="L10">
        <f t="shared" si="4"/>
        <v>0.3</v>
      </c>
      <c r="M10" s="10">
        <f t="shared" si="5"/>
        <v>52200</v>
      </c>
      <c r="N10">
        <f t="shared" si="6"/>
        <v>0.25</v>
      </c>
    </row>
    <row r="11" spans="1:14" ht="18" customHeight="1" x14ac:dyDescent="0.35">
      <c r="A11" s="14"/>
      <c r="B11" s="1" t="s">
        <v>28</v>
      </c>
      <c r="C11" s="2" t="s">
        <v>29</v>
      </c>
      <c r="D11" s="3">
        <v>110</v>
      </c>
      <c r="E11" s="4">
        <v>396000</v>
      </c>
      <c r="F11" s="4">
        <v>14850</v>
      </c>
      <c r="G11" s="4">
        <f t="shared" si="0"/>
        <v>137.5</v>
      </c>
      <c r="H11" s="4">
        <f t="shared" si="1"/>
        <v>495000</v>
      </c>
      <c r="I11" s="4">
        <f t="shared" si="2"/>
        <v>19305</v>
      </c>
      <c r="J11" s="3">
        <v>99</v>
      </c>
      <c r="K11" s="10">
        <f t="shared" si="3"/>
        <v>4455</v>
      </c>
      <c r="L11">
        <f t="shared" si="4"/>
        <v>0.3</v>
      </c>
      <c r="M11" s="10">
        <f t="shared" si="5"/>
        <v>99000</v>
      </c>
      <c r="N11">
        <f t="shared" si="6"/>
        <v>0.25</v>
      </c>
    </row>
    <row r="12" spans="1:14" ht="18" customHeight="1" x14ac:dyDescent="0.35">
      <c r="A12" s="14"/>
      <c r="B12" s="5" t="s">
        <v>30</v>
      </c>
      <c r="C12" s="6" t="s">
        <v>31</v>
      </c>
      <c r="D12" s="7">
        <v>128</v>
      </c>
      <c r="E12" s="8">
        <v>460800</v>
      </c>
      <c r="F12" s="8">
        <v>17280</v>
      </c>
      <c r="G12" s="4">
        <f t="shared" si="0"/>
        <v>160</v>
      </c>
      <c r="H12" s="4">
        <f t="shared" si="1"/>
        <v>576000</v>
      </c>
      <c r="I12" s="4">
        <f t="shared" si="2"/>
        <v>22464</v>
      </c>
      <c r="J12" s="7">
        <v>102</v>
      </c>
      <c r="K12" s="10">
        <f t="shared" si="3"/>
        <v>5184</v>
      </c>
      <c r="L12">
        <f t="shared" si="4"/>
        <v>0.3</v>
      </c>
      <c r="M12" s="10">
        <f t="shared" si="5"/>
        <v>115200</v>
      </c>
      <c r="N12">
        <f t="shared" si="6"/>
        <v>0.25</v>
      </c>
    </row>
    <row r="13" spans="1:14" ht="18" customHeight="1" x14ac:dyDescent="0.35">
      <c r="A13" s="14"/>
      <c r="B13" s="1" t="s">
        <v>32</v>
      </c>
      <c r="C13" s="2" t="s">
        <v>33</v>
      </c>
      <c r="D13" s="3">
        <v>29</v>
      </c>
      <c r="E13" s="4">
        <v>104400</v>
      </c>
      <c r="F13" s="4">
        <v>3915</v>
      </c>
      <c r="G13" s="4">
        <f t="shared" si="0"/>
        <v>36.25</v>
      </c>
      <c r="H13" s="4">
        <f t="shared" si="1"/>
        <v>130500</v>
      </c>
      <c r="I13" s="4">
        <f t="shared" si="2"/>
        <v>5089.5</v>
      </c>
      <c r="J13" s="3">
        <v>24</v>
      </c>
      <c r="K13" s="10">
        <f t="shared" si="3"/>
        <v>1174.5</v>
      </c>
      <c r="L13">
        <f t="shared" si="4"/>
        <v>0.3</v>
      </c>
      <c r="M13" s="10">
        <f t="shared" si="5"/>
        <v>26100</v>
      </c>
      <c r="N13">
        <f t="shared" si="6"/>
        <v>0.25</v>
      </c>
    </row>
    <row r="14" spans="1:14" ht="18" customHeight="1" x14ac:dyDescent="0.35">
      <c r="A14" s="14"/>
      <c r="B14" s="5" t="s">
        <v>34</v>
      </c>
      <c r="C14" s="6" t="s">
        <v>35</v>
      </c>
      <c r="D14" s="7">
        <v>35</v>
      </c>
      <c r="E14" s="8">
        <v>126000</v>
      </c>
      <c r="F14" s="8">
        <v>4725</v>
      </c>
      <c r="G14" s="4">
        <f t="shared" si="0"/>
        <v>43.75</v>
      </c>
      <c r="H14" s="4">
        <f t="shared" si="1"/>
        <v>157500</v>
      </c>
      <c r="I14" s="4">
        <f t="shared" si="2"/>
        <v>6142.5</v>
      </c>
      <c r="J14" s="7">
        <v>28</v>
      </c>
      <c r="K14" s="10">
        <f t="shared" si="3"/>
        <v>1417.5</v>
      </c>
      <c r="M14" s="10"/>
    </row>
    <row r="15" spans="1:14" ht="18" customHeight="1" x14ac:dyDescent="0.35">
      <c r="A15" s="15"/>
      <c r="B15" s="5" t="s">
        <v>122</v>
      </c>
      <c r="C15" s="6" t="s">
        <v>123</v>
      </c>
      <c r="D15" s="7">
        <v>16</v>
      </c>
      <c r="E15" s="8">
        <f>D15*3600</f>
        <v>57600</v>
      </c>
      <c r="F15" s="8">
        <f>D15*135</f>
        <v>2160</v>
      </c>
      <c r="G15" s="4">
        <f t="shared" si="0"/>
        <v>20</v>
      </c>
      <c r="H15" s="4">
        <f t="shared" si="1"/>
        <v>72000</v>
      </c>
      <c r="I15" s="4">
        <f t="shared" si="2"/>
        <v>2808</v>
      </c>
      <c r="J15" s="7">
        <v>28</v>
      </c>
      <c r="K15" s="10">
        <f t="shared" si="3"/>
        <v>648</v>
      </c>
      <c r="L15">
        <f t="shared" ref="L15:L53" si="7">K15/F15</f>
        <v>0.3</v>
      </c>
      <c r="M15" s="10">
        <f t="shared" ref="M15:M53" si="8">H15-E15</f>
        <v>14400</v>
      </c>
      <c r="N15">
        <f t="shared" ref="N15:N53" si="9">M15/E15</f>
        <v>0.25</v>
      </c>
    </row>
    <row r="16" spans="1:14" ht="18" customHeight="1" x14ac:dyDescent="0.35">
      <c r="A16" s="13" t="s">
        <v>36</v>
      </c>
      <c r="B16" s="1" t="s">
        <v>37</v>
      </c>
      <c r="C16" s="2" t="s">
        <v>38</v>
      </c>
      <c r="D16" s="3">
        <v>149</v>
      </c>
      <c r="E16" s="4">
        <v>536400</v>
      </c>
      <c r="F16" s="4">
        <v>20115</v>
      </c>
      <c r="G16" s="4">
        <f t="shared" si="0"/>
        <v>186.25</v>
      </c>
      <c r="H16" s="4">
        <f t="shared" si="1"/>
        <v>670500</v>
      </c>
      <c r="I16" s="4">
        <f t="shared" si="2"/>
        <v>26149.5</v>
      </c>
      <c r="J16" s="3">
        <v>112</v>
      </c>
      <c r="K16" s="10">
        <f t="shared" si="3"/>
        <v>6034.5</v>
      </c>
      <c r="L16">
        <f t="shared" si="7"/>
        <v>0.3</v>
      </c>
      <c r="M16" s="10">
        <f t="shared" si="8"/>
        <v>134100</v>
      </c>
      <c r="N16">
        <f t="shared" si="9"/>
        <v>0.25</v>
      </c>
    </row>
    <row r="17" spans="1:14" ht="18" customHeight="1" x14ac:dyDescent="0.35">
      <c r="A17" s="14"/>
      <c r="B17" s="5" t="s">
        <v>39</v>
      </c>
      <c r="C17" s="6" t="s">
        <v>40</v>
      </c>
      <c r="D17" s="7">
        <v>25</v>
      </c>
      <c r="E17" s="8">
        <v>90000</v>
      </c>
      <c r="F17" s="8">
        <v>3375</v>
      </c>
      <c r="G17" s="4">
        <f t="shared" si="0"/>
        <v>31.25</v>
      </c>
      <c r="H17" s="4">
        <f t="shared" si="1"/>
        <v>112500</v>
      </c>
      <c r="I17" s="4">
        <f t="shared" si="2"/>
        <v>4387.5</v>
      </c>
      <c r="J17" s="7">
        <v>12.5</v>
      </c>
      <c r="K17" s="10">
        <f t="shared" si="3"/>
        <v>1012.5</v>
      </c>
      <c r="L17">
        <f t="shared" si="7"/>
        <v>0.3</v>
      </c>
      <c r="M17" s="10">
        <f t="shared" si="8"/>
        <v>22500</v>
      </c>
      <c r="N17">
        <f t="shared" si="9"/>
        <v>0.25</v>
      </c>
    </row>
    <row r="18" spans="1:14" ht="18" customHeight="1" x14ac:dyDescent="0.35">
      <c r="A18" s="14"/>
      <c r="B18" s="1" t="s">
        <v>41</v>
      </c>
      <c r="C18" s="2" t="s">
        <v>42</v>
      </c>
      <c r="D18" s="3">
        <f>E18/3600</f>
        <v>174</v>
      </c>
      <c r="E18" s="4">
        <f>F18*29</f>
        <v>626400</v>
      </c>
      <c r="F18" s="4">
        <v>21600</v>
      </c>
      <c r="G18" s="4">
        <f t="shared" si="0"/>
        <v>217.5</v>
      </c>
      <c r="H18" s="4">
        <f t="shared" si="1"/>
        <v>783000</v>
      </c>
      <c r="I18" s="4">
        <f t="shared" si="2"/>
        <v>28080</v>
      </c>
      <c r="J18" s="3">
        <v>128</v>
      </c>
      <c r="K18" s="10">
        <f t="shared" si="3"/>
        <v>6480</v>
      </c>
      <c r="L18">
        <f t="shared" si="7"/>
        <v>0.3</v>
      </c>
      <c r="M18" s="10">
        <f t="shared" si="8"/>
        <v>156600</v>
      </c>
      <c r="N18">
        <f t="shared" si="9"/>
        <v>0.25</v>
      </c>
    </row>
    <row r="19" spans="1:14" ht="18" customHeight="1" x14ac:dyDescent="0.35">
      <c r="A19" s="15"/>
      <c r="B19" s="5" t="s">
        <v>43</v>
      </c>
      <c r="C19" s="6" t="s">
        <v>44</v>
      </c>
      <c r="D19" s="7">
        <f>E19/3600</f>
        <v>107.66249999999999</v>
      </c>
      <c r="E19" s="8">
        <f>F19*29</f>
        <v>387585</v>
      </c>
      <c r="F19" s="8">
        <v>13365</v>
      </c>
      <c r="G19" s="4">
        <f t="shared" si="0"/>
        <v>134.578125</v>
      </c>
      <c r="H19" s="4">
        <f t="shared" si="1"/>
        <v>484481.25</v>
      </c>
      <c r="I19" s="4">
        <f t="shared" si="2"/>
        <v>17374.5</v>
      </c>
      <c r="J19" s="7">
        <v>79</v>
      </c>
      <c r="K19" s="10">
        <f t="shared" si="3"/>
        <v>4009.5</v>
      </c>
      <c r="L19">
        <f t="shared" si="7"/>
        <v>0.3</v>
      </c>
      <c r="M19" s="10">
        <f t="shared" si="8"/>
        <v>96896.25</v>
      </c>
      <c r="N19">
        <f t="shared" si="9"/>
        <v>0.25</v>
      </c>
    </row>
    <row r="20" spans="1:14" ht="18" customHeight="1" x14ac:dyDescent="0.35">
      <c r="A20" s="13" t="s">
        <v>45</v>
      </c>
      <c r="B20" s="1" t="s">
        <v>46</v>
      </c>
      <c r="C20" s="2" t="s">
        <v>47</v>
      </c>
      <c r="D20" s="3">
        <v>22</v>
      </c>
      <c r="E20" s="4">
        <v>79200</v>
      </c>
      <c r="F20" s="4">
        <v>2970</v>
      </c>
      <c r="G20" s="4">
        <f t="shared" si="0"/>
        <v>27.5</v>
      </c>
      <c r="H20" s="4">
        <f t="shared" si="1"/>
        <v>99000</v>
      </c>
      <c r="I20" s="4">
        <f t="shared" si="2"/>
        <v>3861</v>
      </c>
      <c r="J20" s="3">
        <v>11</v>
      </c>
      <c r="K20" s="10">
        <f t="shared" si="3"/>
        <v>891</v>
      </c>
      <c r="L20">
        <f t="shared" si="7"/>
        <v>0.3</v>
      </c>
      <c r="M20" s="10">
        <f t="shared" si="8"/>
        <v>19800</v>
      </c>
      <c r="N20">
        <f t="shared" si="9"/>
        <v>0.25</v>
      </c>
    </row>
    <row r="21" spans="1:14" ht="18" customHeight="1" x14ac:dyDescent="0.35">
      <c r="A21" s="14"/>
      <c r="B21" s="5" t="s">
        <v>48</v>
      </c>
      <c r="C21" s="6" t="s">
        <v>49</v>
      </c>
      <c r="D21" s="7">
        <v>25</v>
      </c>
      <c r="E21" s="8">
        <v>90000</v>
      </c>
      <c r="F21" s="8">
        <v>3375</v>
      </c>
      <c r="G21" s="4">
        <f t="shared" si="0"/>
        <v>31.25</v>
      </c>
      <c r="H21" s="4">
        <f t="shared" si="1"/>
        <v>112500</v>
      </c>
      <c r="I21" s="4">
        <f t="shared" si="2"/>
        <v>4387.5</v>
      </c>
      <c r="J21" s="7">
        <v>22</v>
      </c>
      <c r="K21" s="10">
        <f t="shared" si="3"/>
        <v>1012.5</v>
      </c>
      <c r="L21">
        <f t="shared" si="7"/>
        <v>0.3</v>
      </c>
      <c r="M21" s="10">
        <f t="shared" si="8"/>
        <v>22500</v>
      </c>
      <c r="N21">
        <f t="shared" si="9"/>
        <v>0.25</v>
      </c>
    </row>
    <row r="22" spans="1:14" ht="18" customHeight="1" x14ac:dyDescent="0.35">
      <c r="A22" s="14"/>
      <c r="B22" s="1" t="s">
        <v>50</v>
      </c>
      <c r="C22" s="2" t="s">
        <v>51</v>
      </c>
      <c r="D22" s="3">
        <v>20</v>
      </c>
      <c r="E22" s="4">
        <v>72000</v>
      </c>
      <c r="F22" s="4">
        <v>2700</v>
      </c>
      <c r="G22" s="4">
        <f t="shared" si="0"/>
        <v>25</v>
      </c>
      <c r="H22" s="4">
        <f t="shared" si="1"/>
        <v>90000</v>
      </c>
      <c r="I22" s="4">
        <f t="shared" si="2"/>
        <v>3510</v>
      </c>
      <c r="J22" s="3">
        <v>15</v>
      </c>
      <c r="K22" s="10">
        <f t="shared" si="3"/>
        <v>810</v>
      </c>
      <c r="L22">
        <f t="shared" si="7"/>
        <v>0.3</v>
      </c>
      <c r="M22" s="10">
        <f t="shared" si="8"/>
        <v>18000</v>
      </c>
      <c r="N22">
        <f t="shared" si="9"/>
        <v>0.25</v>
      </c>
    </row>
    <row r="23" spans="1:14" ht="18" customHeight="1" x14ac:dyDescent="0.35">
      <c r="A23" s="14"/>
      <c r="B23" s="5" t="s">
        <v>52</v>
      </c>
      <c r="C23" s="6" t="s">
        <v>53</v>
      </c>
      <c r="D23" s="7">
        <v>15</v>
      </c>
      <c r="E23" s="8">
        <v>54000</v>
      </c>
      <c r="F23" s="8">
        <v>2025</v>
      </c>
      <c r="G23" s="4">
        <f t="shared" si="0"/>
        <v>18.75</v>
      </c>
      <c r="H23" s="4">
        <f t="shared" si="1"/>
        <v>67500</v>
      </c>
      <c r="I23" s="4">
        <f t="shared" si="2"/>
        <v>2632.5</v>
      </c>
      <c r="J23" s="7">
        <v>10</v>
      </c>
      <c r="K23" s="10">
        <f t="shared" si="3"/>
        <v>607.5</v>
      </c>
      <c r="L23">
        <f t="shared" si="7"/>
        <v>0.3</v>
      </c>
      <c r="M23" s="10">
        <f t="shared" si="8"/>
        <v>13500</v>
      </c>
      <c r="N23">
        <f t="shared" si="9"/>
        <v>0.25</v>
      </c>
    </row>
    <row r="24" spans="1:14" ht="18" customHeight="1" x14ac:dyDescent="0.35">
      <c r="A24" s="14"/>
      <c r="B24" s="1" t="s">
        <v>54</v>
      </c>
      <c r="C24" s="2" t="s">
        <v>55</v>
      </c>
      <c r="D24" s="3">
        <v>20</v>
      </c>
      <c r="E24" s="4">
        <v>72000</v>
      </c>
      <c r="F24" s="4">
        <f>D24*135</f>
        <v>2700</v>
      </c>
      <c r="G24" s="4">
        <f t="shared" si="0"/>
        <v>25</v>
      </c>
      <c r="H24" s="4">
        <f t="shared" si="1"/>
        <v>90000</v>
      </c>
      <c r="I24" s="4">
        <f t="shared" si="2"/>
        <v>3510</v>
      </c>
      <c r="J24" s="3">
        <v>15</v>
      </c>
      <c r="K24" s="10">
        <f t="shared" si="3"/>
        <v>810</v>
      </c>
      <c r="L24">
        <f t="shared" si="7"/>
        <v>0.3</v>
      </c>
      <c r="M24" s="10">
        <f t="shared" si="8"/>
        <v>18000</v>
      </c>
      <c r="N24">
        <f t="shared" si="9"/>
        <v>0.25</v>
      </c>
    </row>
    <row r="25" spans="1:14" ht="18" customHeight="1" x14ac:dyDescent="0.35">
      <c r="A25" s="15"/>
      <c r="B25" s="5" t="s">
        <v>56</v>
      </c>
      <c r="C25" s="6" t="s">
        <v>57</v>
      </c>
      <c r="D25" s="8">
        <f>E25/3600</f>
        <v>19.574999999999999</v>
      </c>
      <c r="E25" s="8">
        <f>F25*29</f>
        <v>70470</v>
      </c>
      <c r="F25" s="8">
        <v>2430</v>
      </c>
      <c r="G25" s="4">
        <f t="shared" si="0"/>
        <v>24.46875</v>
      </c>
      <c r="H25" s="4">
        <f t="shared" si="1"/>
        <v>88087.5</v>
      </c>
      <c r="I25" s="4">
        <f t="shared" si="2"/>
        <v>3159</v>
      </c>
      <c r="J25" s="7">
        <v>9</v>
      </c>
      <c r="K25" s="10">
        <f t="shared" si="3"/>
        <v>729</v>
      </c>
      <c r="L25">
        <f t="shared" si="7"/>
        <v>0.3</v>
      </c>
      <c r="M25" s="10">
        <f t="shared" si="8"/>
        <v>17617.5</v>
      </c>
      <c r="N25">
        <f t="shared" si="9"/>
        <v>0.25</v>
      </c>
    </row>
    <row r="26" spans="1:14" ht="18" customHeight="1" x14ac:dyDescent="0.35">
      <c r="A26" s="13" t="s">
        <v>58</v>
      </c>
      <c r="B26" s="1" t="s">
        <v>59</v>
      </c>
      <c r="C26" s="2" t="s">
        <v>60</v>
      </c>
      <c r="D26" s="3">
        <v>29</v>
      </c>
      <c r="E26" s="4">
        <v>104400</v>
      </c>
      <c r="F26" s="4">
        <v>3915</v>
      </c>
      <c r="G26" s="4">
        <f t="shared" si="0"/>
        <v>36.25</v>
      </c>
      <c r="H26" s="4">
        <f t="shared" si="1"/>
        <v>130500</v>
      </c>
      <c r="I26" s="4">
        <f t="shared" si="2"/>
        <v>5089.5</v>
      </c>
      <c r="J26" s="3">
        <v>22</v>
      </c>
      <c r="K26" s="10">
        <f t="shared" si="3"/>
        <v>1174.5</v>
      </c>
      <c r="L26">
        <f t="shared" si="7"/>
        <v>0.3</v>
      </c>
      <c r="M26" s="10">
        <f t="shared" si="8"/>
        <v>26100</v>
      </c>
      <c r="N26">
        <f t="shared" si="9"/>
        <v>0.25</v>
      </c>
    </row>
    <row r="27" spans="1:14" ht="18" customHeight="1" x14ac:dyDescent="0.35">
      <c r="A27" s="14"/>
      <c r="B27" s="5" t="s">
        <v>61</v>
      </c>
      <c r="C27" s="6" t="s">
        <v>62</v>
      </c>
      <c r="D27" s="7">
        <v>3</v>
      </c>
      <c r="E27" s="8">
        <v>10800</v>
      </c>
      <c r="F27" s="8">
        <v>1620</v>
      </c>
      <c r="G27" s="4">
        <f t="shared" si="0"/>
        <v>3.75</v>
      </c>
      <c r="H27" s="4">
        <f t="shared" si="1"/>
        <v>13500</v>
      </c>
      <c r="I27" s="4">
        <f t="shared" si="2"/>
        <v>2106</v>
      </c>
      <c r="J27" s="7">
        <v>2.4</v>
      </c>
      <c r="K27" s="10">
        <f t="shared" si="3"/>
        <v>486</v>
      </c>
      <c r="L27">
        <f t="shared" si="7"/>
        <v>0.3</v>
      </c>
      <c r="M27" s="10">
        <f t="shared" si="8"/>
        <v>2700</v>
      </c>
      <c r="N27">
        <f t="shared" si="9"/>
        <v>0.25</v>
      </c>
    </row>
    <row r="28" spans="1:14" ht="18" customHeight="1" x14ac:dyDescent="0.35">
      <c r="A28" s="14"/>
      <c r="B28" s="1" t="s">
        <v>63</v>
      </c>
      <c r="C28" s="2" t="s">
        <v>64</v>
      </c>
      <c r="D28" s="3">
        <v>22</v>
      </c>
      <c r="E28" s="4">
        <v>79200</v>
      </c>
      <c r="F28" s="4">
        <v>2970</v>
      </c>
      <c r="G28" s="4">
        <f t="shared" si="0"/>
        <v>27.5</v>
      </c>
      <c r="H28" s="4">
        <f t="shared" si="1"/>
        <v>99000</v>
      </c>
      <c r="I28" s="4">
        <f t="shared" si="2"/>
        <v>3861</v>
      </c>
      <c r="J28" s="3">
        <v>17</v>
      </c>
      <c r="K28" s="10">
        <f t="shared" si="3"/>
        <v>891</v>
      </c>
      <c r="L28">
        <f t="shared" si="7"/>
        <v>0.3</v>
      </c>
      <c r="M28" s="10">
        <f t="shared" si="8"/>
        <v>19800</v>
      </c>
      <c r="N28">
        <f t="shared" si="9"/>
        <v>0.25</v>
      </c>
    </row>
    <row r="29" spans="1:14" ht="18" customHeight="1" x14ac:dyDescent="0.35">
      <c r="A29" s="14"/>
      <c r="B29" s="5" t="s">
        <v>65</v>
      </c>
      <c r="C29" s="6" t="s">
        <v>66</v>
      </c>
      <c r="D29" s="7">
        <v>30</v>
      </c>
      <c r="E29" s="8">
        <v>108000</v>
      </c>
      <c r="F29" s="8">
        <v>4050</v>
      </c>
      <c r="G29" s="4">
        <f t="shared" si="0"/>
        <v>37.5</v>
      </c>
      <c r="H29" s="4">
        <f t="shared" si="1"/>
        <v>135000</v>
      </c>
      <c r="I29" s="4">
        <f t="shared" si="2"/>
        <v>5265</v>
      </c>
      <c r="J29" s="7">
        <v>22</v>
      </c>
      <c r="K29" s="10">
        <f t="shared" si="3"/>
        <v>1215</v>
      </c>
      <c r="L29">
        <f t="shared" si="7"/>
        <v>0.3</v>
      </c>
      <c r="M29" s="10">
        <f t="shared" si="8"/>
        <v>27000</v>
      </c>
      <c r="N29">
        <f t="shared" si="9"/>
        <v>0.25</v>
      </c>
    </row>
    <row r="30" spans="1:14" ht="18" customHeight="1" x14ac:dyDescent="0.35">
      <c r="A30" s="14"/>
      <c r="B30" s="1" t="s">
        <v>67</v>
      </c>
      <c r="C30" s="2" t="s">
        <v>68</v>
      </c>
      <c r="D30" s="3">
        <v>30</v>
      </c>
      <c r="E30" s="4">
        <v>108000</v>
      </c>
      <c r="F30" s="4">
        <v>4050</v>
      </c>
      <c r="G30" s="4">
        <f t="shared" si="0"/>
        <v>37.5</v>
      </c>
      <c r="H30" s="4">
        <f t="shared" si="1"/>
        <v>135000</v>
      </c>
      <c r="I30" s="4">
        <f t="shared" si="2"/>
        <v>5265</v>
      </c>
      <c r="J30" s="3">
        <v>23</v>
      </c>
      <c r="K30" s="10">
        <f t="shared" si="3"/>
        <v>1215</v>
      </c>
      <c r="L30">
        <f t="shared" si="7"/>
        <v>0.3</v>
      </c>
      <c r="M30" s="10">
        <f t="shared" si="8"/>
        <v>27000</v>
      </c>
      <c r="N30">
        <f t="shared" si="9"/>
        <v>0.25</v>
      </c>
    </row>
    <row r="31" spans="1:14" ht="18" customHeight="1" x14ac:dyDescent="0.35">
      <c r="A31" s="14"/>
      <c r="B31" s="5" t="s">
        <v>69</v>
      </c>
      <c r="C31" s="6" t="s">
        <v>70</v>
      </c>
      <c r="D31" s="7">
        <v>30</v>
      </c>
      <c r="E31" s="8">
        <v>108000</v>
      </c>
      <c r="F31" s="8">
        <v>4050</v>
      </c>
      <c r="G31" s="4">
        <f t="shared" si="0"/>
        <v>37.5</v>
      </c>
      <c r="H31" s="4">
        <f t="shared" si="1"/>
        <v>135000</v>
      </c>
      <c r="I31" s="4">
        <f t="shared" si="2"/>
        <v>5265</v>
      </c>
      <c r="J31" s="7">
        <v>15</v>
      </c>
      <c r="K31" s="10">
        <f t="shared" si="3"/>
        <v>1215</v>
      </c>
      <c r="L31">
        <f t="shared" si="7"/>
        <v>0.3</v>
      </c>
      <c r="M31" s="10">
        <f t="shared" si="8"/>
        <v>27000</v>
      </c>
      <c r="N31">
        <f t="shared" si="9"/>
        <v>0.25</v>
      </c>
    </row>
    <row r="32" spans="1:14" ht="18" customHeight="1" x14ac:dyDescent="0.35">
      <c r="A32" s="15"/>
      <c r="B32" s="1" t="s">
        <v>71</v>
      </c>
      <c r="C32" s="2" t="s">
        <v>72</v>
      </c>
      <c r="D32" s="3">
        <f>E32/3600</f>
        <v>56.55</v>
      </c>
      <c r="E32" s="4">
        <f>F32*29</f>
        <v>203580</v>
      </c>
      <c r="F32" s="4">
        <v>7020</v>
      </c>
      <c r="G32" s="4">
        <f t="shared" si="0"/>
        <v>70.6875</v>
      </c>
      <c r="H32" s="4">
        <f t="shared" si="1"/>
        <v>254475</v>
      </c>
      <c r="I32" s="4">
        <f t="shared" si="2"/>
        <v>9126</v>
      </c>
      <c r="J32" s="3">
        <v>45</v>
      </c>
      <c r="K32" s="10">
        <f t="shared" si="3"/>
        <v>2106</v>
      </c>
      <c r="L32">
        <f t="shared" si="7"/>
        <v>0.3</v>
      </c>
      <c r="M32" s="10">
        <f t="shared" si="8"/>
        <v>50895</v>
      </c>
      <c r="N32">
        <f t="shared" si="9"/>
        <v>0.25</v>
      </c>
    </row>
    <row r="33" spans="1:14" ht="18" customHeight="1" x14ac:dyDescent="0.35">
      <c r="A33" s="18" t="s">
        <v>73</v>
      </c>
      <c r="B33" s="5" t="s">
        <v>74</v>
      </c>
      <c r="C33" s="6" t="s">
        <v>75</v>
      </c>
      <c r="D33" s="7">
        <v>24</v>
      </c>
      <c r="E33" s="8">
        <v>86400</v>
      </c>
      <c r="F33" s="8">
        <v>3240</v>
      </c>
      <c r="G33" s="4">
        <f t="shared" si="0"/>
        <v>30</v>
      </c>
      <c r="H33" s="4">
        <f t="shared" si="1"/>
        <v>108000</v>
      </c>
      <c r="I33" s="4">
        <f t="shared" si="2"/>
        <v>4212</v>
      </c>
      <c r="J33" s="7">
        <v>18</v>
      </c>
      <c r="K33" s="10">
        <f t="shared" si="3"/>
        <v>972</v>
      </c>
      <c r="L33">
        <f t="shared" si="7"/>
        <v>0.3</v>
      </c>
      <c r="M33" s="10">
        <f t="shared" si="8"/>
        <v>21600</v>
      </c>
      <c r="N33">
        <f t="shared" si="9"/>
        <v>0.25</v>
      </c>
    </row>
    <row r="34" spans="1:14" ht="18" customHeight="1" x14ac:dyDescent="0.35">
      <c r="A34" s="19"/>
      <c r="B34" s="1" t="s">
        <v>76</v>
      </c>
      <c r="C34" s="2" t="s">
        <v>77</v>
      </c>
      <c r="D34" s="3">
        <v>42</v>
      </c>
      <c r="E34" s="4">
        <v>151200</v>
      </c>
      <c r="F34" s="4">
        <v>5670</v>
      </c>
      <c r="G34" s="4">
        <f t="shared" si="0"/>
        <v>52.5</v>
      </c>
      <c r="H34" s="4">
        <f t="shared" si="1"/>
        <v>189000</v>
      </c>
      <c r="I34" s="4">
        <f t="shared" si="2"/>
        <v>7371</v>
      </c>
      <c r="J34" s="3">
        <v>35</v>
      </c>
      <c r="K34" s="10">
        <f t="shared" si="3"/>
        <v>1701</v>
      </c>
      <c r="L34">
        <f t="shared" si="7"/>
        <v>0.3</v>
      </c>
      <c r="M34" s="10">
        <f t="shared" si="8"/>
        <v>37800</v>
      </c>
      <c r="N34">
        <f t="shared" si="9"/>
        <v>0.25</v>
      </c>
    </row>
    <row r="35" spans="1:14" ht="18" customHeight="1" x14ac:dyDescent="0.35">
      <c r="A35" s="20"/>
      <c r="B35" s="5" t="s">
        <v>78</v>
      </c>
      <c r="C35" s="6" t="s">
        <v>79</v>
      </c>
      <c r="D35" s="7">
        <v>15</v>
      </c>
      <c r="E35" s="8">
        <v>54000</v>
      </c>
      <c r="F35" s="8">
        <v>2025</v>
      </c>
      <c r="G35" s="4">
        <f t="shared" ref="G35:G53" si="10">D35*1.25</f>
        <v>18.75</v>
      </c>
      <c r="H35" s="4">
        <f t="shared" ref="H35:H53" si="11">E35*1.25</f>
        <v>67500</v>
      </c>
      <c r="I35" s="4">
        <f t="shared" si="2"/>
        <v>2632.5</v>
      </c>
      <c r="J35" s="7">
        <v>8</v>
      </c>
      <c r="K35" s="10">
        <f t="shared" ref="K35:K53" si="12">I35-F35</f>
        <v>607.5</v>
      </c>
      <c r="L35">
        <f t="shared" si="7"/>
        <v>0.3</v>
      </c>
      <c r="M35" s="10">
        <f t="shared" si="8"/>
        <v>13500</v>
      </c>
      <c r="N35">
        <f t="shared" si="9"/>
        <v>0.25</v>
      </c>
    </row>
    <row r="36" spans="1:14" ht="18" customHeight="1" x14ac:dyDescent="0.35">
      <c r="A36" s="13" t="s">
        <v>80</v>
      </c>
      <c r="B36" s="1" t="s">
        <v>81</v>
      </c>
      <c r="C36" s="2" t="s">
        <v>82</v>
      </c>
      <c r="D36" s="3">
        <v>30</v>
      </c>
      <c r="E36" s="4">
        <v>108000</v>
      </c>
      <c r="F36" s="4">
        <v>4050</v>
      </c>
      <c r="G36" s="4">
        <f t="shared" si="10"/>
        <v>37.5</v>
      </c>
      <c r="H36" s="4">
        <f t="shared" si="11"/>
        <v>135000</v>
      </c>
      <c r="I36" s="4">
        <f t="shared" si="2"/>
        <v>5265</v>
      </c>
      <c r="J36" s="3">
        <v>25</v>
      </c>
      <c r="K36" s="10">
        <f t="shared" si="12"/>
        <v>1215</v>
      </c>
      <c r="L36">
        <f t="shared" si="7"/>
        <v>0.3</v>
      </c>
      <c r="M36" s="10">
        <f t="shared" si="8"/>
        <v>27000</v>
      </c>
      <c r="N36">
        <f t="shared" si="9"/>
        <v>0.25</v>
      </c>
    </row>
    <row r="37" spans="1:14" ht="18" customHeight="1" x14ac:dyDescent="0.35">
      <c r="A37" s="14"/>
      <c r="B37" s="5" t="s">
        <v>83</v>
      </c>
      <c r="C37" s="6" t="s">
        <v>84</v>
      </c>
      <c r="D37" s="7">
        <v>32</v>
      </c>
      <c r="E37" s="8">
        <v>115200</v>
      </c>
      <c r="F37" s="8">
        <v>4320</v>
      </c>
      <c r="G37" s="4">
        <f t="shared" si="10"/>
        <v>40</v>
      </c>
      <c r="H37" s="4">
        <f t="shared" si="11"/>
        <v>144000</v>
      </c>
      <c r="I37" s="4">
        <f t="shared" si="2"/>
        <v>5616</v>
      </c>
      <c r="J37" s="7">
        <v>24.5</v>
      </c>
      <c r="K37" s="10">
        <f t="shared" si="12"/>
        <v>1296</v>
      </c>
      <c r="L37">
        <f t="shared" si="7"/>
        <v>0.3</v>
      </c>
      <c r="M37" s="10">
        <f t="shared" si="8"/>
        <v>28800</v>
      </c>
      <c r="N37">
        <f t="shared" si="9"/>
        <v>0.25</v>
      </c>
    </row>
    <row r="38" spans="1:14" ht="18" customHeight="1" x14ac:dyDescent="0.35">
      <c r="A38" s="14"/>
      <c r="B38" s="1" t="s">
        <v>85</v>
      </c>
      <c r="C38" s="2" t="s">
        <v>86</v>
      </c>
      <c r="D38" s="3">
        <v>40</v>
      </c>
      <c r="E38" s="4">
        <v>144000</v>
      </c>
      <c r="F38" s="4">
        <v>5400</v>
      </c>
      <c r="G38" s="4">
        <f t="shared" si="10"/>
        <v>50</v>
      </c>
      <c r="H38" s="4">
        <f t="shared" si="11"/>
        <v>180000</v>
      </c>
      <c r="I38" s="4">
        <f t="shared" si="2"/>
        <v>7020</v>
      </c>
      <c r="J38" s="3">
        <v>28</v>
      </c>
      <c r="K38" s="10">
        <f t="shared" si="12"/>
        <v>1620</v>
      </c>
      <c r="L38">
        <f t="shared" si="7"/>
        <v>0.3</v>
      </c>
      <c r="M38" s="10">
        <f t="shared" si="8"/>
        <v>36000</v>
      </c>
      <c r="N38">
        <f t="shared" si="9"/>
        <v>0.25</v>
      </c>
    </row>
    <row r="39" spans="1:14" ht="18" customHeight="1" x14ac:dyDescent="0.35">
      <c r="A39" s="14"/>
      <c r="B39" s="5" t="s">
        <v>87</v>
      </c>
      <c r="C39" s="6" t="s">
        <v>88</v>
      </c>
      <c r="D39" s="7">
        <v>22</v>
      </c>
      <c r="E39" s="8">
        <v>79200</v>
      </c>
      <c r="F39" s="8">
        <v>2970</v>
      </c>
      <c r="G39" s="4">
        <f t="shared" si="10"/>
        <v>27.5</v>
      </c>
      <c r="H39" s="4">
        <f t="shared" si="11"/>
        <v>99000</v>
      </c>
      <c r="I39" s="4">
        <f t="shared" si="2"/>
        <v>3861</v>
      </c>
      <c r="J39" s="7">
        <v>15</v>
      </c>
      <c r="K39" s="10">
        <f t="shared" si="12"/>
        <v>891</v>
      </c>
      <c r="L39">
        <f t="shared" si="7"/>
        <v>0.3</v>
      </c>
      <c r="M39" s="10">
        <f t="shared" si="8"/>
        <v>19800</v>
      </c>
      <c r="N39">
        <f t="shared" si="9"/>
        <v>0.25</v>
      </c>
    </row>
    <row r="40" spans="1:14" ht="18" customHeight="1" x14ac:dyDescent="0.35">
      <c r="A40" s="14"/>
      <c r="B40" s="1" t="s">
        <v>89</v>
      </c>
      <c r="C40" s="2" t="s">
        <v>90</v>
      </c>
      <c r="D40" s="3">
        <v>25</v>
      </c>
      <c r="E40" s="4">
        <v>90000</v>
      </c>
      <c r="F40" s="4">
        <v>3375</v>
      </c>
      <c r="G40" s="4">
        <f t="shared" si="10"/>
        <v>31.25</v>
      </c>
      <c r="H40" s="4">
        <f t="shared" si="11"/>
        <v>112500</v>
      </c>
      <c r="I40" s="4">
        <f t="shared" si="2"/>
        <v>4387.5</v>
      </c>
      <c r="J40" s="3">
        <v>19</v>
      </c>
      <c r="K40" s="10">
        <f t="shared" si="12"/>
        <v>1012.5</v>
      </c>
      <c r="L40">
        <f t="shared" si="7"/>
        <v>0.3</v>
      </c>
      <c r="M40" s="10">
        <f t="shared" si="8"/>
        <v>22500</v>
      </c>
      <c r="N40">
        <f t="shared" si="9"/>
        <v>0.25</v>
      </c>
    </row>
    <row r="41" spans="1:14" ht="18" customHeight="1" x14ac:dyDescent="0.35">
      <c r="A41" s="14"/>
      <c r="B41" s="5" t="s">
        <v>91</v>
      </c>
      <c r="C41" s="6" t="s">
        <v>92</v>
      </c>
      <c r="D41" s="7">
        <v>27</v>
      </c>
      <c r="E41" s="8">
        <v>97200</v>
      </c>
      <c r="F41" s="8">
        <v>3645</v>
      </c>
      <c r="G41" s="4">
        <f t="shared" si="10"/>
        <v>33.75</v>
      </c>
      <c r="H41" s="4">
        <f t="shared" si="11"/>
        <v>121500</v>
      </c>
      <c r="I41" s="4">
        <f t="shared" si="2"/>
        <v>4738.5</v>
      </c>
      <c r="J41" s="7">
        <v>19</v>
      </c>
      <c r="K41" s="10">
        <f t="shared" si="12"/>
        <v>1093.5</v>
      </c>
      <c r="L41">
        <f t="shared" si="7"/>
        <v>0.3</v>
      </c>
      <c r="M41" s="10">
        <f t="shared" si="8"/>
        <v>24300</v>
      </c>
      <c r="N41">
        <f t="shared" si="9"/>
        <v>0.25</v>
      </c>
    </row>
    <row r="42" spans="1:14" ht="18" customHeight="1" x14ac:dyDescent="0.35">
      <c r="A42" s="14"/>
      <c r="B42" s="1" t="s">
        <v>93</v>
      </c>
      <c r="C42" s="2" t="s">
        <v>94</v>
      </c>
      <c r="D42" s="3">
        <v>18</v>
      </c>
      <c r="E42" s="4">
        <v>64800</v>
      </c>
      <c r="F42" s="4">
        <v>2430</v>
      </c>
      <c r="G42" s="4">
        <f t="shared" si="10"/>
        <v>22.5</v>
      </c>
      <c r="H42" s="4">
        <f t="shared" si="11"/>
        <v>81000</v>
      </c>
      <c r="I42" s="4">
        <f t="shared" si="2"/>
        <v>3159</v>
      </c>
      <c r="J42" s="3">
        <v>13</v>
      </c>
      <c r="K42" s="10">
        <f t="shared" si="12"/>
        <v>729</v>
      </c>
      <c r="L42">
        <f t="shared" si="7"/>
        <v>0.3</v>
      </c>
      <c r="M42" s="10">
        <f t="shared" si="8"/>
        <v>16200</v>
      </c>
      <c r="N42">
        <f t="shared" si="9"/>
        <v>0.25</v>
      </c>
    </row>
    <row r="43" spans="1:14" ht="18" customHeight="1" x14ac:dyDescent="0.35">
      <c r="A43" s="14"/>
      <c r="B43" s="5" t="s">
        <v>95</v>
      </c>
      <c r="C43" s="6" t="s">
        <v>96</v>
      </c>
      <c r="D43" s="7">
        <v>34</v>
      </c>
      <c r="E43" s="8">
        <v>122400</v>
      </c>
      <c r="F43" s="8">
        <v>4590</v>
      </c>
      <c r="G43" s="4">
        <f t="shared" si="10"/>
        <v>42.5</v>
      </c>
      <c r="H43" s="4">
        <f t="shared" si="11"/>
        <v>153000</v>
      </c>
      <c r="I43" s="4">
        <f t="shared" si="2"/>
        <v>5967</v>
      </c>
      <c r="J43" s="7">
        <v>24</v>
      </c>
      <c r="K43" s="10">
        <f t="shared" si="12"/>
        <v>1377</v>
      </c>
      <c r="L43">
        <f t="shared" si="7"/>
        <v>0.3</v>
      </c>
      <c r="M43" s="10">
        <f t="shared" si="8"/>
        <v>30600</v>
      </c>
      <c r="N43">
        <f t="shared" si="9"/>
        <v>0.25</v>
      </c>
    </row>
    <row r="44" spans="1:14" ht="18" customHeight="1" x14ac:dyDescent="0.35">
      <c r="A44" s="14"/>
      <c r="B44" s="1" t="s">
        <v>97</v>
      </c>
      <c r="C44" s="2" t="s">
        <v>98</v>
      </c>
      <c r="D44" s="3">
        <f>E44/3600</f>
        <v>80.474999999999994</v>
      </c>
      <c r="E44" s="4">
        <f>F44*29</f>
        <v>289710</v>
      </c>
      <c r="F44" s="4">
        <v>9990</v>
      </c>
      <c r="G44" s="4">
        <f t="shared" si="10"/>
        <v>100.59375</v>
      </c>
      <c r="H44" s="4">
        <f t="shared" si="11"/>
        <v>362137.5</v>
      </c>
      <c r="I44" s="4">
        <f t="shared" si="2"/>
        <v>12987</v>
      </c>
      <c r="J44" s="3">
        <v>53</v>
      </c>
      <c r="K44" s="10">
        <f t="shared" si="12"/>
        <v>2997</v>
      </c>
      <c r="L44">
        <f t="shared" si="7"/>
        <v>0.3</v>
      </c>
      <c r="M44" s="10">
        <f t="shared" si="8"/>
        <v>72427.5</v>
      </c>
      <c r="N44">
        <f t="shared" si="9"/>
        <v>0.25</v>
      </c>
    </row>
    <row r="45" spans="1:14" ht="29.5" customHeight="1" x14ac:dyDescent="0.35">
      <c r="A45" s="14"/>
      <c r="B45" s="5" t="s">
        <v>99</v>
      </c>
      <c r="C45" s="6" t="s">
        <v>100</v>
      </c>
      <c r="D45" s="7">
        <f>E45/3600</f>
        <v>137.02500000000001</v>
      </c>
      <c r="E45" s="8">
        <f>F45*29</f>
        <v>493290</v>
      </c>
      <c r="F45" s="8">
        <v>17010</v>
      </c>
      <c r="G45" s="4">
        <f t="shared" si="10"/>
        <v>171.28125</v>
      </c>
      <c r="H45" s="4">
        <f t="shared" si="11"/>
        <v>616612.5</v>
      </c>
      <c r="I45" s="4">
        <f t="shared" si="2"/>
        <v>22113</v>
      </c>
      <c r="J45" s="7">
        <v>90</v>
      </c>
      <c r="K45" s="10">
        <f t="shared" si="12"/>
        <v>5103</v>
      </c>
      <c r="L45">
        <f t="shared" si="7"/>
        <v>0.3</v>
      </c>
      <c r="M45" s="10">
        <f t="shared" si="8"/>
        <v>123322.5</v>
      </c>
      <c r="N45">
        <f t="shared" si="9"/>
        <v>0.25</v>
      </c>
    </row>
    <row r="46" spans="1:14" ht="29.5" customHeight="1" x14ac:dyDescent="0.35">
      <c r="A46" s="14"/>
      <c r="B46" s="1" t="s">
        <v>101</v>
      </c>
      <c r="C46" s="2" t="s">
        <v>102</v>
      </c>
      <c r="D46" s="3">
        <v>11</v>
      </c>
      <c r="E46" s="4">
        <v>39600</v>
      </c>
      <c r="F46" s="4">
        <v>1485</v>
      </c>
      <c r="G46" s="4">
        <f t="shared" si="10"/>
        <v>13.75</v>
      </c>
      <c r="H46" s="4">
        <f t="shared" si="11"/>
        <v>49500</v>
      </c>
      <c r="I46" s="4">
        <f t="shared" ref="I46" si="13">F46*130%</f>
        <v>1930.5</v>
      </c>
      <c r="J46" s="3">
        <v>6</v>
      </c>
      <c r="K46" s="10">
        <f t="shared" si="12"/>
        <v>445.5</v>
      </c>
      <c r="L46">
        <f t="shared" si="7"/>
        <v>0.3</v>
      </c>
      <c r="M46" s="10">
        <f t="shared" si="8"/>
        <v>9900</v>
      </c>
      <c r="N46">
        <f t="shared" si="9"/>
        <v>0.25</v>
      </c>
    </row>
    <row r="47" spans="1:14" ht="18" customHeight="1" x14ac:dyDescent="0.35">
      <c r="A47" s="15"/>
      <c r="B47" s="1" t="s">
        <v>121</v>
      </c>
      <c r="C47" s="2" t="s">
        <v>120</v>
      </c>
      <c r="D47" s="3">
        <v>18</v>
      </c>
      <c r="E47" s="4">
        <f>D47*3600</f>
        <v>64800</v>
      </c>
      <c r="F47" s="4">
        <f>D47*135</f>
        <v>2430</v>
      </c>
      <c r="G47" s="4">
        <f t="shared" si="10"/>
        <v>22.5</v>
      </c>
      <c r="H47" s="4">
        <f t="shared" si="11"/>
        <v>81000</v>
      </c>
      <c r="I47" s="4">
        <f t="shared" ref="I47:I53" si="14">F47*130%</f>
        <v>3159</v>
      </c>
      <c r="J47" s="3">
        <v>6</v>
      </c>
      <c r="K47" s="10">
        <f t="shared" si="12"/>
        <v>729</v>
      </c>
      <c r="L47">
        <f t="shared" si="7"/>
        <v>0.3</v>
      </c>
      <c r="M47" s="10">
        <f t="shared" si="8"/>
        <v>16200</v>
      </c>
      <c r="N47">
        <f t="shared" si="9"/>
        <v>0.25</v>
      </c>
    </row>
    <row r="48" spans="1:14" ht="18" customHeight="1" x14ac:dyDescent="0.35">
      <c r="A48" s="18" t="s">
        <v>103</v>
      </c>
      <c r="B48" s="5" t="s">
        <v>104</v>
      </c>
      <c r="C48" s="6" t="s">
        <v>105</v>
      </c>
      <c r="D48" s="7">
        <v>24</v>
      </c>
      <c r="E48" s="8">
        <v>86400</v>
      </c>
      <c r="F48" s="8">
        <v>3240</v>
      </c>
      <c r="G48" s="4">
        <f t="shared" si="10"/>
        <v>30</v>
      </c>
      <c r="H48" s="4">
        <f t="shared" si="11"/>
        <v>108000</v>
      </c>
      <c r="I48" s="4">
        <f t="shared" si="14"/>
        <v>4212</v>
      </c>
      <c r="J48" s="7">
        <v>18</v>
      </c>
      <c r="K48" s="10">
        <f t="shared" si="12"/>
        <v>972</v>
      </c>
      <c r="L48">
        <f t="shared" si="7"/>
        <v>0.3</v>
      </c>
      <c r="M48" s="10">
        <f t="shared" si="8"/>
        <v>21600</v>
      </c>
      <c r="N48">
        <f t="shared" si="9"/>
        <v>0.25</v>
      </c>
    </row>
    <row r="49" spans="1:14" ht="18" customHeight="1" x14ac:dyDescent="0.35">
      <c r="A49" s="19"/>
      <c r="B49" s="1" t="s">
        <v>106</v>
      </c>
      <c r="C49" s="2" t="s">
        <v>107</v>
      </c>
      <c r="D49" s="3">
        <v>24</v>
      </c>
      <c r="E49" s="4">
        <v>86400</v>
      </c>
      <c r="F49" s="4">
        <v>3240</v>
      </c>
      <c r="G49" s="4">
        <f t="shared" si="10"/>
        <v>30</v>
      </c>
      <c r="H49" s="4">
        <f t="shared" si="11"/>
        <v>108000</v>
      </c>
      <c r="I49" s="4">
        <f t="shared" si="14"/>
        <v>4212</v>
      </c>
      <c r="J49" s="3">
        <v>18</v>
      </c>
      <c r="K49" s="10">
        <f t="shared" si="12"/>
        <v>972</v>
      </c>
      <c r="L49">
        <f t="shared" si="7"/>
        <v>0.3</v>
      </c>
      <c r="M49" s="10">
        <f t="shared" si="8"/>
        <v>21600</v>
      </c>
      <c r="N49">
        <f t="shared" si="9"/>
        <v>0.25</v>
      </c>
    </row>
    <row r="50" spans="1:14" ht="18" customHeight="1" x14ac:dyDescent="0.35">
      <c r="A50" s="20"/>
      <c r="B50" s="5" t="s">
        <v>108</v>
      </c>
      <c r="C50" s="6" t="s">
        <v>109</v>
      </c>
      <c r="D50" s="7">
        <v>20</v>
      </c>
      <c r="E50" s="8">
        <v>72000</v>
      </c>
      <c r="F50" s="8">
        <v>2700</v>
      </c>
      <c r="G50" s="4">
        <f t="shared" si="10"/>
        <v>25</v>
      </c>
      <c r="H50" s="4">
        <f t="shared" si="11"/>
        <v>90000</v>
      </c>
      <c r="I50" s="4">
        <f t="shared" si="14"/>
        <v>3510</v>
      </c>
      <c r="J50" s="7">
        <v>15</v>
      </c>
      <c r="K50" s="10">
        <f t="shared" si="12"/>
        <v>810</v>
      </c>
      <c r="L50">
        <f t="shared" si="7"/>
        <v>0.3</v>
      </c>
      <c r="M50" s="10">
        <f t="shared" si="8"/>
        <v>18000</v>
      </c>
      <c r="N50">
        <f t="shared" si="9"/>
        <v>0.25</v>
      </c>
    </row>
    <row r="51" spans="1:14" ht="18" customHeight="1" x14ac:dyDescent="0.35">
      <c r="A51" s="13" t="s">
        <v>110</v>
      </c>
      <c r="B51" s="1" t="s">
        <v>111</v>
      </c>
      <c r="C51" s="2" t="s">
        <v>112</v>
      </c>
      <c r="D51" s="3">
        <v>2.2000000000000002</v>
      </c>
      <c r="E51" s="4">
        <v>7920</v>
      </c>
      <c r="F51" s="4">
        <v>297</v>
      </c>
      <c r="G51" s="4">
        <f t="shared" si="10"/>
        <v>2.75</v>
      </c>
      <c r="H51" s="4">
        <f t="shared" si="11"/>
        <v>9900</v>
      </c>
      <c r="I51" s="4">
        <f t="shared" si="14"/>
        <v>386.1</v>
      </c>
      <c r="J51" s="3">
        <v>1</v>
      </c>
      <c r="K51" s="10">
        <f t="shared" si="12"/>
        <v>89.100000000000023</v>
      </c>
      <c r="L51">
        <f t="shared" si="7"/>
        <v>0.3000000000000001</v>
      </c>
      <c r="M51" s="10">
        <f t="shared" si="8"/>
        <v>1980</v>
      </c>
      <c r="N51">
        <f t="shared" si="9"/>
        <v>0.25</v>
      </c>
    </row>
    <row r="52" spans="1:14" ht="18" customHeight="1" x14ac:dyDescent="0.35">
      <c r="A52" s="14"/>
      <c r="B52" s="5" t="s">
        <v>113</v>
      </c>
      <c r="C52" s="6" t="s">
        <v>114</v>
      </c>
      <c r="D52" s="7">
        <v>5.5</v>
      </c>
      <c r="E52" s="8">
        <v>19800</v>
      </c>
      <c r="F52" s="8">
        <v>743</v>
      </c>
      <c r="G52" s="4">
        <f t="shared" si="10"/>
        <v>6.875</v>
      </c>
      <c r="H52" s="4">
        <f t="shared" si="11"/>
        <v>24750</v>
      </c>
      <c r="I52" s="4">
        <f t="shared" si="14"/>
        <v>965.9</v>
      </c>
      <c r="J52" s="7">
        <v>2.8</v>
      </c>
      <c r="K52" s="10">
        <f t="shared" si="12"/>
        <v>222.89999999999998</v>
      </c>
      <c r="L52">
        <f t="shared" si="7"/>
        <v>0.3</v>
      </c>
      <c r="M52" s="10">
        <f t="shared" si="8"/>
        <v>4950</v>
      </c>
      <c r="N52">
        <f t="shared" si="9"/>
        <v>0.25</v>
      </c>
    </row>
    <row r="53" spans="1:14" ht="18" customHeight="1" x14ac:dyDescent="0.35">
      <c r="A53" s="15"/>
      <c r="B53" s="1" t="s">
        <v>115</v>
      </c>
      <c r="C53" s="2" t="s">
        <v>116</v>
      </c>
      <c r="D53" s="3">
        <v>1</v>
      </c>
      <c r="E53" s="4">
        <v>3600</v>
      </c>
      <c r="F53" s="4">
        <f>D53*135</f>
        <v>135</v>
      </c>
      <c r="G53" s="21">
        <f t="shared" si="10"/>
        <v>1.25</v>
      </c>
      <c r="H53" s="4">
        <f t="shared" si="11"/>
        <v>4500</v>
      </c>
      <c r="I53" s="4">
        <f t="shared" si="14"/>
        <v>175.5</v>
      </c>
      <c r="J53" s="3">
        <v>2.4</v>
      </c>
      <c r="K53" s="10">
        <f t="shared" si="12"/>
        <v>40.5</v>
      </c>
      <c r="L53">
        <f t="shared" si="7"/>
        <v>0.3</v>
      </c>
      <c r="M53" s="10">
        <f t="shared" si="8"/>
        <v>900</v>
      </c>
      <c r="N53">
        <f t="shared" si="9"/>
        <v>0.25</v>
      </c>
    </row>
  </sheetData>
  <mergeCells count="10">
    <mergeCell ref="A51:A53"/>
    <mergeCell ref="A7:A15"/>
    <mergeCell ref="A36:A47"/>
    <mergeCell ref="A26:A32"/>
    <mergeCell ref="A1:J1"/>
    <mergeCell ref="A3:A6"/>
    <mergeCell ref="A16:A19"/>
    <mergeCell ref="A33:A35"/>
    <mergeCell ref="A48:A50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 SUMA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Betty Kweyu</cp:lastModifiedBy>
  <dcterms:created xsi:type="dcterms:W3CDTF">2026-04-02T17:44:04Z</dcterms:created>
  <dcterms:modified xsi:type="dcterms:W3CDTF">2026-05-01T17:13:43Z</dcterms:modified>
</cp:coreProperties>
</file>